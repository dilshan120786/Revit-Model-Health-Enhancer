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tabRatio="500"/>
  </bookViews>
  <sheets>
    <sheet name="Executive Summary" sheetId="1" r:id="rId1"/>
    <sheet name="Time Savings Chart" sheetId="2" r:id="rId2"/>
    <sheet name="Detailed Analysi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<sst xmlns="http://schemas.openxmlformats.org/spreadsheetml/2006/main" count="120" uniqueCount="85">
  <si>
    <t>MODEL HEALTH ENHANCER – TIME SAVINGS REPORT</t>
  </si>
  <si>
    <t>JAQA Electrical Revit Model  |  Dynamo Automation Script</t>
  </si>
  <si>
    <t>Total Manual Time
~210 mins</t>
  </si>
  <si>
    <t>Automated Time
&lt; 2 mins</t>
  </si>
  <si>
    <t>Time Saved
~208 mins</t>
  </si>
  <si>
    <t>Efficiency Gain
~99.04%</t>
  </si>
  <si>
    <t xml:space="preserve">  Task-by-Task Time Comparison</t>
  </si>
  <si>
    <t>Task Description</t>
  </si>
  <si>
    <t>Manual Time (mins)</t>
  </si>
  <si>
    <t>Automated Time (mins)</t>
  </si>
  <si>
    <t>Time Saved (mins)</t>
  </si>
  <si>
    <t>Pinned Elements
(Grids, Levels, Links, Imported CADs)</t>
  </si>
  <si>
    <t>Workset Changes
(All Levels and Grids)</t>
  </si>
  <si>
    <t>Rooms Deleted
(Unplaced Rooms)</t>
  </si>
  <si>
    <t>Spaces Deleted
(Unplaced Spaces)</t>
  </si>
  <si>
    <t>Unused Templates Deleted</t>
  </si>
  <si>
    <t>Unused Filters Deleted</t>
  </si>
  <si>
    <t>Unused Text Styles Deleted</t>
  </si>
  <si>
    <t>Duplicate Marks Fixed</t>
  </si>
  <si>
    <t>Duplicate Elements Deleted</t>
  </si>
  <si>
    <t>Navisworks View Status
(3D_Navisworks_Export created if missing)</t>
  </si>
  <si>
    <t>TOTAL</t>
  </si>
  <si>
    <t xml:space="preserve">  Notes</t>
  </si>
  <si>
    <t>• Automated times reflect a fixed ~0.5 min per task (10 seconds) regardless of model size.</t>
  </si>
  <si>
    <t>• Manual times for Rooms, Spaces, Templates, Filters, Duplicate Marks/Elements are model-size dependent and may exceed values shown for larger models.</t>
  </si>
  <si>
    <t>• Navisworks view: manual time ~5–10 mins; 5 mins used for this calculation. Automated creates the view if absent.</t>
  </si>
  <si>
    <t>• Risk factor: Several manual tasks (Templates, Filters, Duplicate fixes) carry high risk of accidental deletion requiring full rework.</t>
  </si>
  <si>
    <t>• Script tested on JAQA Electrical Revit Model. Results validated against actual Dynamo output.</t>
  </si>
  <si>
    <t>Time Savings – Visual Comparison</t>
  </si>
  <si>
    <t>Task</t>
  </si>
  <si>
    <t>Manual (mins)</t>
  </si>
  <si>
    <t>Automated (mins)</t>
  </si>
  <si>
    <t>Saved (mins)</t>
  </si>
  <si>
    <t>Pinned Elements</t>
  </si>
  <si>
    <t>Workset Changes</t>
  </si>
  <si>
    <t>Rooms Deleted</t>
  </si>
  <si>
    <t>Spaces Deleted</t>
  </si>
  <si>
    <t>Unused Templates</t>
  </si>
  <si>
    <t>Unused Filters</t>
  </si>
  <si>
    <t>Unused Text Styles</t>
  </si>
  <si>
    <t>Duplicate Marks</t>
  </si>
  <si>
    <t>Duplicate Elements</t>
  </si>
  <si>
    <t>Navisworks View</t>
  </si>
  <si>
    <t>Detailed Task Analysis – Model Health Enhancer</t>
  </si>
  <si>
    <t>Per-task breakdown with risk assessment and scalability notes</t>
  </si>
  <si>
    <t>Manual Time</t>
  </si>
  <si>
    <t>Automated Time</t>
  </si>
  <si>
    <t>Time Saved</t>
  </si>
  <si>
    <t>Risk Level</t>
  </si>
  <si>
    <t>Notes / Scale Impact</t>
  </si>
  <si>
    <t>Pinned Elements
(Grids, Levels, Links, CADs)</t>
  </si>
  <si>
    <t>40 mins</t>
  </si>
  <si>
    <t>~10 secs</t>
  </si>
  <si>
    <t>~39.5 mins</t>
  </si>
  <si>
    <t>LOW</t>
  </si>
  <si>
    <t>All pinned elements processed at once. Time constant regardless of model size.</t>
  </si>
  <si>
    <t>Workset Changes
(Levels &amp; Grids)</t>
  </si>
  <si>
    <t>10 mins</t>
  </si>
  <si>
    <t>~9.5 mins</t>
  </si>
  <si>
    <t>Automated with precise workset assignment. Negligible scale effect.</t>
  </si>
  <si>
    <t>20 mins</t>
  </si>
  <si>
    <t>~19.5 mins</t>
  </si>
  <si>
    <t>HIGH</t>
  </si>
  <si>
    <t>Manual deletion is risky. Larger models may have 100s of unplaced rooms — time scales linearly.</t>
  </si>
  <si>
    <t>Same risk profile as Rooms. Time-saving advantage grows with model size.</t>
  </si>
  <si>
    <t>CRITICAL</t>
  </si>
  <si>
    <t>Highest risk: accidental deletion of active template requires full rework. Script eliminates error entirely.</t>
  </si>
  <si>
    <t>25 mins</t>
  </si>
  <si>
    <t>~24.5 mins</t>
  </si>
  <si>
    <t>Same critical risk as Templates. Manual verification per filter is time-intensive on large models.</t>
  </si>
  <si>
    <t>1 min</t>
  </si>
  <si>
    <t>~0.5 mins</t>
  </si>
  <si>
    <t>Small task — value is in consistency and auditability, not raw time saving.</t>
  </si>
  <si>
    <t>MEDIUM</t>
  </si>
  <si>
    <t>Duplicate marks cause clash and coordination issues. Manual fix is error-prone in complex models.</t>
  </si>
  <si>
    <t>Identifying duplicates manually takes significant scrolling and cross-checking. Scales badly with model size but script will run at same speed.</t>
  </si>
  <si>
    <t>Navisworks View Status
(3D_Navisworks_Export)</t>
  </si>
  <si>
    <t>5–10 mins</t>
  </si>
  <si>
    <t>~5–9.5 mins</t>
  </si>
  <si>
    <t>Script creates view if absent. Manual setup requires navigating view settings — easy to misconfigure.</t>
  </si>
  <si>
    <t xml:space="preserve">  Risk Level Legend</t>
  </si>
  <si>
    <t>No risk of data loss. Script performs with accuracy equal or better than manual.</t>
  </si>
  <si>
    <t>Minor risk manually. Dynamo ensures consistent identification and processing.</t>
  </si>
  <si>
    <t>Significant manual risk. Mistakes require rework. Automation strongly recommended.</t>
  </si>
  <si>
    <t>Any manual error can corrupt the model or require full redo. Automation is essential.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</si>
</sst>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</numFmts>
  <fonts count="43">
    <font>
      <sz val="11"/>
      <color theme="1"/>
      <name val="Calibri"/>
      <charset val="1"/>
    </font>
    <font>
      <b/>
      <sz val="14"/>
      <color rgb="FFFFFFFF"/>
      <name val="Arial"/>
      <charset val="1"/>
    </font>
    <font>
      <i/>
      <sz val="10"/>
      <color rgb="FF2E75B6"/>
      <name val="Arial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C0392B"/>
      <name val="Arial"/>
      <charset val="1"/>
    </font>
    <font>
      <b/>
      <sz val="9"/>
      <color rgb="FF1E7E34"/>
      <name val="Arial"/>
      <charset val="1"/>
    </font>
    <font>
      <b/>
      <sz val="9"/>
      <color rgb="FF1F3864"/>
      <name val="Arial"/>
      <charset val="1"/>
    </font>
    <font>
      <b/>
      <sz val="9"/>
      <color rgb="FFFFFFFF"/>
      <name val="Arial"/>
      <charset val="1"/>
    </font>
    <font>
      <i/>
      <sz val="8"/>
      <color rgb="FF333333"/>
      <name val="Arial"/>
      <charset val="1"/>
    </font>
    <font>
      <i/>
      <sz val="9"/>
      <color rgb="FF000000"/>
      <name val="Arial"/>
      <charset val="1"/>
    </font>
    <font>
      <b/>
      <sz val="10"/>
      <color rgb="FFC0392B"/>
      <name val="Arial"/>
      <charset val="1"/>
    </font>
    <font>
      <b/>
      <sz val="10"/>
      <color rgb="FF1E7E34"/>
      <name val="Arial"/>
      <charset val="1"/>
    </font>
    <font>
      <b/>
      <sz val="10"/>
      <color rgb="FF1F3864"/>
      <name val="Arial"/>
      <charset val="1"/>
    </font>
    <font>
      <b/>
      <sz val="10"/>
      <color rgb="FF00B050"/>
      <name val="Arial"/>
      <charset val="1"/>
    </font>
    <font>
      <b/>
      <sz val="16"/>
      <color rgb="FFFFFFFF"/>
      <name val="Arial"/>
      <charset val="1"/>
    </font>
    <font>
      <i/>
      <sz val="11"/>
      <color rgb="FFF4B942"/>
      <name val="Arial"/>
      <charset val="1"/>
    </font>
    <font>
      <b/>
      <sz val="13"/>
      <color rgb="FFFFFFFF"/>
      <name val="Arial"/>
      <charset val="1"/>
    </font>
    <font>
      <b/>
      <sz val="13"/>
      <color rgb="FFF4B942"/>
      <name val="Arial"/>
      <charset val="1"/>
    </font>
    <font>
      <b/>
      <sz val="11"/>
      <color rgb="FFFFFFFF"/>
      <name val="Arial"/>
      <charset val="1"/>
    </font>
    <font>
      <b/>
      <sz val="11"/>
      <color rgb="FFF4B942"/>
      <name val="Arial"/>
      <charset val="1"/>
    </font>
    <font>
      <i/>
      <sz val="9"/>
      <color rgb="FF444444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8F4FD"/>
        <bgColor rgb="FFF2F2F2"/>
      </patternFill>
    </fill>
    <fill>
      <patternFill patternType="solid">
        <fgColor rgb="FFD6E4F0"/>
        <bgColor rgb="FFD9D9D9"/>
      </patternFill>
    </fill>
    <fill>
      <patternFill patternType="solid">
        <fgColor rgb="FF1E7E34"/>
        <bgColor rgb="FF217A3C"/>
      </patternFill>
    </fill>
    <fill>
      <patternFill patternType="solid">
        <fgColor rgb="FFFFFFFF"/>
        <bgColor rgb="FFF2F2F2"/>
      </patternFill>
    </fill>
    <fill>
      <patternFill patternType="solid">
        <fgColor rgb="FFC0392B"/>
        <bgColor rgb="FF922B21"/>
      </patternFill>
    </fill>
    <fill>
      <patternFill patternType="solid">
        <fgColor rgb="FF7B0000"/>
        <bgColor rgb="FF800000"/>
      </patternFill>
    </fill>
    <fill>
      <patternFill patternType="solid">
        <fgColor rgb="FFE67E22"/>
        <bgColor rgb="FFFF9900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8F4FD"/>
      </patternFill>
    </fill>
    <fill>
      <patternFill patternType="solid">
        <fgColor rgb="FF217A3C"/>
        <bgColor rgb="FF1E7E34"/>
      </patternFill>
    </fill>
    <fill>
      <patternFill patternType="solid">
        <fgColor rgb="FF7B2D8B"/>
        <bgColor rgb="FF80008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/>
      <top style="thin">
        <color rgb="FFB0BEC5"/>
      </top>
      <bottom style="thin">
        <color rgb="FFB0BEC5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2" fillId="0" borderId="0" applyBorder="0" applyAlignment="0" applyProtection="0"/>
    <xf numFmtId="177" fontId="22" fillId="0" borderId="0" applyBorder="0" applyAlignment="0" applyProtection="0"/>
    <xf numFmtId="9" fontId="22" fillId="0" borderId="0" applyBorder="0" applyAlignment="0" applyProtection="0"/>
    <xf numFmtId="178" fontId="22" fillId="0" borderId="0" applyBorder="0" applyAlignment="0" applyProtection="0"/>
    <xf numFmtId="179" fontId="22" fillId="0" borderId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4" borderId="5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15" borderId="8" applyNumberFormat="0" applyAlignment="0" applyProtection="0">
      <alignment vertical="center"/>
    </xf>
    <xf numFmtId="0" fontId="33" fillId="16" borderId="9" applyNumberFormat="0" applyAlignment="0" applyProtection="0">
      <alignment vertical="center"/>
    </xf>
    <xf numFmtId="0" fontId="34" fillId="16" borderId="8" applyNumberFormat="0" applyAlignment="0" applyProtection="0">
      <alignment vertical="center"/>
    </xf>
    <xf numFmtId="0" fontId="35" fillId="17" borderId="10" applyNumberFormat="0" applyAlignment="0" applyProtection="0">
      <alignment vertical="center"/>
    </xf>
    <xf numFmtId="0" fontId="36" fillId="0" borderId="11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42" fillId="42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</cellStyleXfs>
  <cellXfs count="44">
    <xf numFmtId="0" fontId="0" fillId="0" borderId="0" xfId="0"/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8" fillId="10" borderId="0" xfId="0" applyFont="1" applyFill="1" applyBorder="1" applyAlignment="1">
      <alignment horizontal="left" vertical="center"/>
    </xf>
    <xf numFmtId="0" fontId="10" fillId="11" borderId="3" xfId="0" applyFont="1" applyFill="1" applyBorder="1" applyAlignment="1">
      <alignment horizontal="left" vertical="center"/>
    </xf>
    <xf numFmtId="0" fontId="3" fillId="10" borderId="0" xfId="0" applyFont="1" applyFill="1" applyAlignment="1">
      <alignment horizontal="center" vertical="center" wrapText="1"/>
    </xf>
    <xf numFmtId="0" fontId="4" fillId="4" borderId="0" xfId="0" applyFont="1" applyFill="1"/>
    <xf numFmtId="0" fontId="11" fillId="4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4" fillId="6" borderId="0" xfId="0" applyFont="1" applyFill="1"/>
    <xf numFmtId="0" fontId="11" fillId="6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5" fillId="2" borderId="0" xfId="0" applyFont="1" applyFill="1" applyBorder="1" applyAlignment="1">
      <alignment horizontal="center" vertical="center" wrapText="1"/>
    </xf>
    <xf numFmtId="0" fontId="16" fillId="2" borderId="0" xfId="0" applyFont="1" applyFill="1" applyBorder="1" applyAlignment="1">
      <alignment horizontal="center" vertical="center" wrapText="1"/>
    </xf>
    <xf numFmtId="0" fontId="17" fillId="10" borderId="4" xfId="0" applyFont="1" applyFill="1" applyBorder="1" applyAlignment="1">
      <alignment horizontal="center" vertical="center" wrapText="1"/>
    </xf>
    <xf numFmtId="0" fontId="17" fillId="12" borderId="4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7" fillId="13" borderId="4" xfId="0" applyFont="1" applyFill="1" applyBorder="1" applyAlignment="1">
      <alignment horizontal="center" vertical="center" wrapText="1"/>
    </xf>
    <xf numFmtId="0" fontId="19" fillId="10" borderId="0" xfId="0" applyFont="1" applyFill="1" applyBorder="1" applyAlignment="1">
      <alignment horizontal="left" vertical="center" wrapText="1"/>
    </xf>
    <xf numFmtId="0" fontId="11" fillId="4" borderId="2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/>
    </xf>
    <xf numFmtId="0" fontId="3" fillId="10" borderId="0" xfId="0" applyFont="1" applyFill="1" applyBorder="1" applyAlignment="1">
      <alignment horizontal="left" vertical="center"/>
    </xf>
    <xf numFmtId="0" fontId="21" fillId="11" borderId="3" xfId="0" applyFon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7B0000"/>
      <rgbColor rgb="001E7E34"/>
      <rgbColor rgb="00000080"/>
      <rgbColor rgb="00808000"/>
      <rgbColor rgb="00800080"/>
      <rgbColor rgb="00217A3C"/>
      <rgbColor rgb="00B0BEC5"/>
      <rgbColor rgb="00878787"/>
      <rgbColor rgb="009999FF"/>
      <rgbColor rgb="007B2D8B"/>
      <rgbColor rgb="00F2F2F2"/>
      <rgbColor rgb="00E8F4FD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6E4F0"/>
      <rgbColor rgb="00CCFFCC"/>
      <rgbColor rgb="00FFFF99"/>
      <rgbColor rgb="0099CCFF"/>
      <rgbColor rgb="00FF99CC"/>
      <rgbColor rgb="00CC99FF"/>
      <rgbColor rgb="00FFCC99"/>
      <rgbColor rgb="002E75B6"/>
      <rgbColor rgb="0033CCCC"/>
      <rgbColor rgb="0099CC00"/>
      <rgbColor rgb="00F4B942"/>
      <rgbColor rgb="00FF9900"/>
      <rgbColor rgb="00E67E22"/>
      <rgbColor rgb="00666699"/>
      <rgbColor rgb="00969696"/>
      <rgbColor rgb="001F3864"/>
      <rgbColor rgb="00339966"/>
      <rgbColor rgb="00145A24"/>
      <rgbColor rgb="00444444"/>
      <rgbColor rgb="00922B21"/>
      <rgbColor rgb="00C0392B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Manual vs Automated Time per Task (minutes)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'Time Savings Chart'!$B$2</c:f>
              <c:strCache>
                <c:ptCount val="1"/>
                <c:pt idx="0">
                  <c:v>Manual (mins)</c:v>
                </c:pt>
              </c:strCache>
            </c:strRef>
          </c:tx>
          <c:spPr>
            <a:solidFill>
              <a:srgbClr val="C0392B"/>
            </a:solidFill>
            <a:ln w="9360">
              <a:solidFill>
                <a:srgbClr val="922B21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'Time Savings Chart'!$A$3:$A$12</c:f>
              <c:strCache>
                <c:ptCount val="10"/>
                <c:pt idx="0">
                  <c:v>Pinned Elements</c:v>
                </c:pt>
                <c:pt idx="1">
                  <c:v>Workset Changes</c:v>
                </c:pt>
                <c:pt idx="2">
                  <c:v>Rooms Deleted</c:v>
                </c:pt>
                <c:pt idx="3">
                  <c:v>Spaces Deleted</c:v>
                </c:pt>
                <c:pt idx="4">
                  <c:v>Unused Templates</c:v>
                </c:pt>
                <c:pt idx="5">
                  <c:v>Unused Filters</c:v>
                </c:pt>
                <c:pt idx="6">
                  <c:v>Unused Text Styles</c:v>
                </c:pt>
                <c:pt idx="7">
                  <c:v>Duplicate Marks</c:v>
                </c:pt>
                <c:pt idx="8">
                  <c:v>Duplicate Elements</c:v>
                </c:pt>
                <c:pt idx="9">
                  <c:v>Navisworks View</c:v>
                </c:pt>
              </c:strCache>
            </c:strRef>
          </c:cat>
          <c:val>
            <c:numRef>
              <c:f>'Time Savings Chart'!$B$3:$B$12</c:f>
              <c:numCache>
                <c:formatCode>General</c:formatCode>
                <c:ptCount val="10"/>
                <c:pt idx="0">
                  <c:v>40</c:v>
                </c:pt>
                <c:pt idx="1">
                  <c:v>10</c:v>
                </c:pt>
                <c:pt idx="2">
                  <c:v>20</c:v>
                </c:pt>
                <c:pt idx="3">
                  <c:v>20</c:v>
                </c:pt>
                <c:pt idx="4">
                  <c:v>40</c:v>
                </c:pt>
                <c:pt idx="5">
                  <c:v>25</c:v>
                </c:pt>
                <c:pt idx="6">
                  <c:v>1</c:v>
                </c:pt>
                <c:pt idx="7">
                  <c:v>20</c:v>
                </c:pt>
                <c:pt idx="8">
                  <c:v>20</c:v>
                </c:pt>
                <c:pt idx="9">
                  <c:v>5</c:v>
                </c:pt>
              </c:numCache>
            </c:numRef>
          </c:val>
        </c:ser>
        <c:ser>
          <c:idx val="1"/>
          <c:order val="1"/>
          <c:tx>
            <c:strRef>
              <c:f>'Time Savings Chart'!$C$2</c:f>
              <c:strCache>
                <c:ptCount val="1"/>
                <c:pt idx="0">
                  <c:v>Automated (mins)</c:v>
                </c:pt>
              </c:strCache>
            </c:strRef>
          </c:tx>
          <c:spPr>
            <a:solidFill>
              <a:srgbClr val="1E7E34"/>
            </a:solidFill>
            <a:ln w="9360">
              <a:solidFill>
                <a:srgbClr val="145A24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'Time Savings Chart'!$A$3:$A$12</c:f>
              <c:strCache>
                <c:ptCount val="10"/>
                <c:pt idx="0">
                  <c:v>Pinned Elements</c:v>
                </c:pt>
                <c:pt idx="1">
                  <c:v>Workset Changes</c:v>
                </c:pt>
                <c:pt idx="2">
                  <c:v>Rooms Deleted</c:v>
                </c:pt>
                <c:pt idx="3">
                  <c:v>Spaces Deleted</c:v>
                </c:pt>
                <c:pt idx="4">
                  <c:v>Unused Templates</c:v>
                </c:pt>
                <c:pt idx="5">
                  <c:v>Unused Filters</c:v>
                </c:pt>
                <c:pt idx="6">
                  <c:v>Unused Text Styles</c:v>
                </c:pt>
                <c:pt idx="7">
                  <c:v>Duplicate Marks</c:v>
                </c:pt>
                <c:pt idx="8">
                  <c:v>Duplicate Elements</c:v>
                </c:pt>
                <c:pt idx="9">
                  <c:v>Navisworks View</c:v>
                </c:pt>
              </c:strCache>
            </c:strRef>
          </c:cat>
          <c:val>
            <c:numRef>
              <c:f>'Time Savings Chart'!$C$3:$C$12</c:f>
              <c:numCache>
                <c:formatCode>General</c:formatCode>
                <c:ptCount val="10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88008339"/>
        <c:axId val="34728950"/>
      </c:barChart>
      <c:catAx>
        <c:axId val="88008339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Task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34728950"/>
        <c:crosses val="autoZero"/>
        <c:auto val="1"/>
        <c:lblAlgn val="ctr"/>
        <c:lblOffset val="100"/>
        <c:noMultiLvlLbl val="0"/>
      </c:catAx>
      <c:valAx>
        <c:axId val="34728950"/>
        <c:scaling>
          <c:orientation val="minMax"/>
        </c:scaling>
        <c:delete val="0"/>
        <c:axPos val="b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Time (minutes)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880083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e5f0f10-c72f-4d40-8aed-4c407ca9574b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8</xdr:col>
      <xdr:colOff>569880</xdr:colOff>
      <xdr:row>43</xdr:row>
      <xdr:rowOff>44640</xdr:rowOff>
    </xdr:to>
    <xdr:graphicFrame>
      <xdr:nvGraphicFramePr>
        <xdr:cNvPr id="2" name="Chart 1"/>
        <xdr:cNvGraphicFramePr/>
      </xdr:nvGraphicFramePr>
      <xdr:xfrm>
        <a:off x="0" y="3126105"/>
        <a:ext cx="9121775" cy="5530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3864"/>
  </sheetPr>
  <dimension ref="B1:E29"/>
  <sheetViews>
    <sheetView tabSelected="1" workbookViewId="0">
      <pane xSplit="1" ySplit="10" topLeftCell="B23" activePane="bottomRight" state="frozen"/>
      <selection/>
      <selection pane="topRight"/>
      <selection pane="bottomLeft"/>
      <selection pane="bottomRight" activeCell="I9" sqref="I9"/>
    </sheetView>
  </sheetViews>
  <sheetFormatPr defaultColWidth="8.67592592592593" defaultRowHeight="14.4" outlineLevelCol="4"/>
  <cols>
    <col min="1" max="1" width="4" customWidth="1"/>
    <col min="2" max="2" width="38" customWidth="1"/>
    <col min="3" max="4" width="28" customWidth="1"/>
    <col min="5" max="5" width="23.7777777777778" customWidth="1"/>
    <col min="6" max="6" width="24.1111111111111" customWidth="1"/>
  </cols>
  <sheetData>
    <row r="1" ht="9.75" customHeight="1"/>
    <row r="2" ht="31.5" customHeight="1" spans="2:5">
      <c r="B2" s="28" t="s">
        <v>0</v>
      </c>
      <c r="C2" s="28"/>
      <c r="D2" s="28"/>
      <c r="E2" s="28"/>
    </row>
    <row r="3" ht="21.75" customHeight="1" spans="2:5">
      <c r="B3" s="29" t="s">
        <v>1</v>
      </c>
      <c r="C3" s="29"/>
      <c r="D3" s="29"/>
      <c r="E3" s="29"/>
    </row>
    <row r="5" ht="13.5" customHeight="1"/>
    <row r="6" ht="42" customHeight="1" spans="2:5">
      <c r="B6" s="30" t="s">
        <v>2</v>
      </c>
      <c r="C6" s="31" t="s">
        <v>3</v>
      </c>
      <c r="D6" s="32" t="s">
        <v>4</v>
      </c>
      <c r="E6" s="33" t="s">
        <v>5</v>
      </c>
    </row>
    <row r="7" ht="24" customHeight="1" spans="2:5">
      <c r="B7" s="30"/>
      <c r="C7" s="30"/>
      <c r="D7" s="30"/>
      <c r="E7" s="30"/>
    </row>
    <row r="8" ht="13.5" customHeight="1"/>
    <row r="10" ht="21.75" customHeight="1" spans="2:5">
      <c r="B10" s="34" t="s">
        <v>6</v>
      </c>
      <c r="C10" s="34"/>
      <c r="D10" s="34"/>
      <c r="E10" s="34"/>
    </row>
    <row r="11" ht="31.5" customHeight="1" spans="2:5">
      <c r="B11" s="3" t="s">
        <v>7</v>
      </c>
      <c r="C11" s="3" t="s">
        <v>8</v>
      </c>
      <c r="D11" s="3" t="s">
        <v>9</v>
      </c>
      <c r="E11" s="3" t="s">
        <v>10</v>
      </c>
    </row>
    <row r="12" ht="30" customHeight="1" spans="2:5">
      <c r="B12" s="4" t="s">
        <v>11</v>
      </c>
      <c r="C12" s="35">
        <v>40</v>
      </c>
      <c r="D12" s="36">
        <v>0.1</v>
      </c>
      <c r="E12" s="37">
        <f>C12-D12</f>
        <v>39.9</v>
      </c>
    </row>
    <row r="13" ht="30" customHeight="1" spans="2:5">
      <c r="B13" s="10" t="s">
        <v>12</v>
      </c>
      <c r="C13" s="38">
        <v>10</v>
      </c>
      <c r="D13" s="36">
        <v>0.1</v>
      </c>
      <c r="E13" s="39">
        <f t="shared" ref="E12:E21" si="0">C13-D13</f>
        <v>9.9</v>
      </c>
    </row>
    <row r="14" ht="30" customHeight="1" spans="2:5">
      <c r="B14" s="4" t="s">
        <v>13</v>
      </c>
      <c r="C14" s="35">
        <v>20</v>
      </c>
      <c r="D14" s="36">
        <v>0.1</v>
      </c>
      <c r="E14" s="37">
        <f t="shared" si="0"/>
        <v>19.9</v>
      </c>
    </row>
    <row r="15" ht="30" customHeight="1" spans="2:5">
      <c r="B15" s="10" t="s">
        <v>14</v>
      </c>
      <c r="C15" s="38">
        <v>20</v>
      </c>
      <c r="D15" s="36">
        <v>0.1</v>
      </c>
      <c r="E15" s="39">
        <f t="shared" si="0"/>
        <v>19.9</v>
      </c>
    </row>
    <row r="16" ht="30" customHeight="1" spans="2:5">
      <c r="B16" s="4" t="s">
        <v>15</v>
      </c>
      <c r="C16" s="35">
        <v>40</v>
      </c>
      <c r="D16" s="36">
        <v>0.1</v>
      </c>
      <c r="E16" s="37">
        <f t="shared" si="0"/>
        <v>39.9</v>
      </c>
    </row>
    <row r="17" ht="30" customHeight="1" spans="2:5">
      <c r="B17" s="10" t="s">
        <v>16</v>
      </c>
      <c r="C17" s="38">
        <v>25</v>
      </c>
      <c r="D17" s="36">
        <v>0.1</v>
      </c>
      <c r="E17" s="39">
        <f t="shared" si="0"/>
        <v>24.9</v>
      </c>
    </row>
    <row r="18" ht="30" customHeight="1" spans="2:5">
      <c r="B18" s="4" t="s">
        <v>17</v>
      </c>
      <c r="C18" s="35">
        <v>1</v>
      </c>
      <c r="D18" s="36">
        <v>0.1</v>
      </c>
      <c r="E18" s="37">
        <f t="shared" si="0"/>
        <v>0.9</v>
      </c>
    </row>
    <row r="19" ht="30" customHeight="1" spans="2:5">
      <c r="B19" s="10" t="s">
        <v>18</v>
      </c>
      <c r="C19" s="38">
        <v>20</v>
      </c>
      <c r="D19" s="36">
        <v>0.1</v>
      </c>
      <c r="E19" s="39">
        <f t="shared" si="0"/>
        <v>19.9</v>
      </c>
    </row>
    <row r="20" ht="30" customHeight="1" spans="2:5">
      <c r="B20" s="4" t="s">
        <v>19</v>
      </c>
      <c r="C20" s="35">
        <v>20</v>
      </c>
      <c r="D20" s="36">
        <v>0.1</v>
      </c>
      <c r="E20" s="37">
        <f t="shared" si="0"/>
        <v>19.9</v>
      </c>
    </row>
    <row r="21" ht="30" customHeight="1" spans="2:5">
      <c r="B21" s="10" t="s">
        <v>20</v>
      </c>
      <c r="C21" s="38">
        <v>10</v>
      </c>
      <c r="D21" s="36">
        <v>0.1</v>
      </c>
      <c r="E21" s="39">
        <f t="shared" si="0"/>
        <v>9.9</v>
      </c>
    </row>
    <row r="22" ht="25.5" customHeight="1" spans="2:5">
      <c r="B22" s="40" t="s">
        <v>21</v>
      </c>
      <c r="C22" s="41">
        <f>SUM(C12:C21)</f>
        <v>206</v>
      </c>
      <c r="D22" s="41">
        <f>SUM(D12:D21)</f>
        <v>1</v>
      </c>
      <c r="E22" s="41">
        <f>SUM(E12:E21)</f>
        <v>205</v>
      </c>
    </row>
    <row r="24" ht="15.75" customHeight="1" spans="2:5">
      <c r="B24" s="42" t="s">
        <v>22</v>
      </c>
      <c r="C24" s="42"/>
      <c r="D24" s="42"/>
      <c r="E24" s="42"/>
    </row>
    <row r="25" ht="18" customHeight="1" spans="2:5">
      <c r="B25" s="43" t="s">
        <v>23</v>
      </c>
      <c r="C25" s="43"/>
      <c r="D25" s="43"/>
      <c r="E25" s="43"/>
    </row>
    <row r="26" ht="18" customHeight="1" spans="2:5">
      <c r="B26" s="43" t="s">
        <v>24</v>
      </c>
      <c r="C26" s="43"/>
      <c r="D26" s="43"/>
      <c r="E26" s="43"/>
    </row>
    <row r="27" ht="18" customHeight="1" spans="2:5">
      <c r="B27" s="43" t="s">
        <v>25</v>
      </c>
      <c r="C27" s="43"/>
      <c r="D27" s="43"/>
      <c r="E27" s="43"/>
    </row>
    <row r="28" ht="18" customHeight="1" spans="2:5">
      <c r="B28" s="43" t="s">
        <v>26</v>
      </c>
      <c r="C28" s="43"/>
      <c r="D28" s="43"/>
      <c r="E28" s="43"/>
    </row>
    <row r="29" ht="18" customHeight="1" spans="2:5">
      <c r="B29" s="43" t="s">
        <v>27</v>
      </c>
      <c r="C29" s="43"/>
      <c r="D29" s="43"/>
      <c r="E29" s="43"/>
    </row>
  </sheetData>
  <mergeCells count="13">
    <mergeCell ref="B2:E2"/>
    <mergeCell ref="B3:E3"/>
    <mergeCell ref="B10:E10"/>
    <mergeCell ref="B24:E24"/>
    <mergeCell ref="B25:E25"/>
    <mergeCell ref="B26:E26"/>
    <mergeCell ref="B27:E27"/>
    <mergeCell ref="B28:E28"/>
    <mergeCell ref="B29:E29"/>
    <mergeCell ref="B6:B7"/>
    <mergeCell ref="C6:C7"/>
    <mergeCell ref="D6:D7"/>
    <mergeCell ref="E6:E7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5B6"/>
  </sheetPr>
  <dimension ref="A1:D12"/>
  <sheetViews>
    <sheetView workbookViewId="0">
      <selection activeCell="H12" sqref="H12"/>
    </sheetView>
  </sheetViews>
  <sheetFormatPr defaultColWidth="8.67592592592593" defaultRowHeight="14.4" outlineLevelCol="3"/>
  <cols>
    <col min="1" max="1" width="36" customWidth="1"/>
    <col min="2" max="4" width="18" customWidth="1"/>
  </cols>
  <sheetData>
    <row r="1" ht="30" customHeight="1" spans="1:4">
      <c r="A1" s="1" t="s">
        <v>28</v>
      </c>
      <c r="B1" s="1"/>
      <c r="C1" s="1"/>
      <c r="D1" s="1"/>
    </row>
    <row r="2" ht="21.75" customHeight="1" spans="1:4">
      <c r="A2" s="19" t="s">
        <v>29</v>
      </c>
      <c r="B2" s="19" t="s">
        <v>30</v>
      </c>
      <c r="C2" s="19" t="s">
        <v>31</v>
      </c>
      <c r="D2" s="19" t="s">
        <v>32</v>
      </c>
    </row>
    <row r="3" ht="18" customHeight="1" spans="1:4">
      <c r="A3" s="20" t="s">
        <v>33</v>
      </c>
      <c r="B3" s="21">
        <v>40</v>
      </c>
      <c r="C3" s="22">
        <v>0.1</v>
      </c>
      <c r="D3" s="23">
        <f t="shared" ref="D3:D12" si="0">B3-C3</f>
        <v>39.9</v>
      </c>
    </row>
    <row r="4" ht="18" customHeight="1" spans="1:4">
      <c r="A4" s="24" t="s">
        <v>34</v>
      </c>
      <c r="B4" s="25">
        <v>10</v>
      </c>
      <c r="C4" s="26">
        <v>0.1</v>
      </c>
      <c r="D4" s="27">
        <f t="shared" si="0"/>
        <v>9.9</v>
      </c>
    </row>
    <row r="5" ht="18" customHeight="1" spans="1:4">
      <c r="A5" s="20" t="s">
        <v>35</v>
      </c>
      <c r="B5" s="21">
        <v>20</v>
      </c>
      <c r="C5" s="22">
        <v>0.1</v>
      </c>
      <c r="D5" s="23">
        <f t="shared" si="0"/>
        <v>19.9</v>
      </c>
    </row>
    <row r="6" ht="18" customHeight="1" spans="1:4">
      <c r="A6" s="24" t="s">
        <v>36</v>
      </c>
      <c r="B6" s="25">
        <v>20</v>
      </c>
      <c r="C6" s="26">
        <v>0.1</v>
      </c>
      <c r="D6" s="27">
        <f t="shared" si="0"/>
        <v>19.9</v>
      </c>
    </row>
    <row r="7" ht="18" customHeight="1" spans="1:4">
      <c r="A7" s="20" t="s">
        <v>37</v>
      </c>
      <c r="B7" s="21">
        <v>40</v>
      </c>
      <c r="C7" s="22">
        <v>0.1</v>
      </c>
      <c r="D7" s="23">
        <f t="shared" si="0"/>
        <v>39.9</v>
      </c>
    </row>
    <row r="8" ht="18" customHeight="1" spans="1:4">
      <c r="A8" s="24" t="s">
        <v>38</v>
      </c>
      <c r="B8" s="25">
        <v>25</v>
      </c>
      <c r="C8" s="26">
        <v>0.1</v>
      </c>
      <c r="D8" s="27">
        <f t="shared" si="0"/>
        <v>24.9</v>
      </c>
    </row>
    <row r="9" ht="18" customHeight="1" spans="1:4">
      <c r="A9" s="20" t="s">
        <v>39</v>
      </c>
      <c r="B9" s="21">
        <v>1</v>
      </c>
      <c r="C9" s="22">
        <v>0.1</v>
      </c>
      <c r="D9" s="23">
        <f t="shared" si="0"/>
        <v>0.9</v>
      </c>
    </row>
    <row r="10" ht="18" customHeight="1" spans="1:4">
      <c r="A10" s="24" t="s">
        <v>40</v>
      </c>
      <c r="B10" s="25">
        <v>20</v>
      </c>
      <c r="C10" s="26">
        <v>0.1</v>
      </c>
      <c r="D10" s="27">
        <f t="shared" si="0"/>
        <v>19.9</v>
      </c>
    </row>
    <row r="11" ht="18" customHeight="1" spans="1:4">
      <c r="A11" s="20" t="s">
        <v>41</v>
      </c>
      <c r="B11" s="21">
        <v>20</v>
      </c>
      <c r="C11" s="22">
        <v>0.1</v>
      </c>
      <c r="D11" s="23">
        <f t="shared" si="0"/>
        <v>19.9</v>
      </c>
    </row>
    <row r="12" ht="18" customHeight="1" spans="1:4">
      <c r="A12" s="24" t="s">
        <v>42</v>
      </c>
      <c r="B12" s="25">
        <v>5</v>
      </c>
      <c r="C12" s="26">
        <v>0.1</v>
      </c>
      <c r="D12" s="27">
        <f t="shared" si="0"/>
        <v>4.9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17A3C"/>
  </sheetPr>
  <dimension ref="B1:G21"/>
  <sheetViews>
    <sheetView workbookViewId="0">
      <pane xSplit="1" ySplit="4" topLeftCell="B12" activePane="bottomRight" state="frozen"/>
      <selection/>
      <selection pane="topRight"/>
      <selection pane="bottomLeft"/>
      <selection pane="bottomRight" activeCell="K3" sqref="K3"/>
    </sheetView>
  </sheetViews>
  <sheetFormatPr defaultColWidth="8.67592592592593" defaultRowHeight="14.4" outlineLevelCol="6"/>
  <cols>
    <col min="1" max="1" width="3" customWidth="1"/>
    <col min="2" max="2" width="30" customWidth="1"/>
    <col min="3" max="4" width="22" customWidth="1"/>
    <col min="5" max="6" width="16" customWidth="1"/>
    <col min="7" max="7" width="34.2222222222222" customWidth="1"/>
    <col min="8" max="8" width="3" customWidth="1"/>
  </cols>
  <sheetData>
    <row r="1" ht="30" customHeight="1" spans="2:7">
      <c r="B1" s="1" t="s">
        <v>43</v>
      </c>
      <c r="C1" s="1"/>
      <c r="D1" s="1"/>
      <c r="E1" s="1"/>
      <c r="F1" s="1"/>
      <c r="G1" s="1"/>
    </row>
    <row r="2" ht="18" customHeight="1" spans="2:7">
      <c r="B2" s="2" t="s">
        <v>44</v>
      </c>
      <c r="C2" s="2"/>
      <c r="D2" s="2"/>
      <c r="E2" s="2"/>
      <c r="F2" s="2"/>
      <c r="G2" s="2"/>
    </row>
    <row r="3" ht="15.15"/>
    <row r="4" ht="25.5" customHeight="1" spans="2:7">
      <c r="B4" s="3" t="s">
        <v>29</v>
      </c>
      <c r="C4" s="3" t="s">
        <v>45</v>
      </c>
      <c r="D4" s="3" t="s">
        <v>46</v>
      </c>
      <c r="E4" s="3" t="s">
        <v>47</v>
      </c>
      <c r="F4" s="3" t="s">
        <v>48</v>
      </c>
      <c r="G4" s="3" t="s">
        <v>49</v>
      </c>
    </row>
    <row r="5" ht="33.75" customHeight="1" spans="2:7">
      <c r="B5" s="4" t="s">
        <v>50</v>
      </c>
      <c r="C5" s="5" t="s">
        <v>51</v>
      </c>
      <c r="D5" s="6" t="s">
        <v>52</v>
      </c>
      <c r="E5" s="7" t="s">
        <v>53</v>
      </c>
      <c r="F5" s="8" t="s">
        <v>54</v>
      </c>
      <c r="G5" s="9" t="s">
        <v>55</v>
      </c>
    </row>
    <row r="6" ht="33.75" customHeight="1" spans="2:7">
      <c r="B6" s="10" t="s">
        <v>56</v>
      </c>
      <c r="C6" s="11" t="s">
        <v>57</v>
      </c>
      <c r="D6" s="6" t="s">
        <v>52</v>
      </c>
      <c r="E6" s="12" t="s">
        <v>58</v>
      </c>
      <c r="F6" s="8" t="s">
        <v>54</v>
      </c>
      <c r="G6" s="13" t="s">
        <v>59</v>
      </c>
    </row>
    <row r="7" ht="33.75" customHeight="1" spans="2:7">
      <c r="B7" s="4" t="s">
        <v>13</v>
      </c>
      <c r="C7" s="5" t="s">
        <v>60</v>
      </c>
      <c r="D7" s="6" t="s">
        <v>52</v>
      </c>
      <c r="E7" s="7" t="s">
        <v>61</v>
      </c>
      <c r="F7" s="14" t="s">
        <v>62</v>
      </c>
      <c r="G7" s="9" t="s">
        <v>63</v>
      </c>
    </row>
    <row r="8" ht="33.75" customHeight="1" spans="2:7">
      <c r="B8" s="10" t="s">
        <v>14</v>
      </c>
      <c r="C8" s="11" t="s">
        <v>60</v>
      </c>
      <c r="D8" s="6" t="s">
        <v>52</v>
      </c>
      <c r="E8" s="12" t="s">
        <v>61</v>
      </c>
      <c r="F8" s="14" t="s">
        <v>62</v>
      </c>
      <c r="G8" s="13" t="s">
        <v>64</v>
      </c>
    </row>
    <row r="9" ht="33.75" customHeight="1" spans="2:7">
      <c r="B9" s="4" t="s">
        <v>15</v>
      </c>
      <c r="C9" s="5" t="s">
        <v>51</v>
      </c>
      <c r="D9" s="6" t="s">
        <v>52</v>
      </c>
      <c r="E9" s="7" t="s">
        <v>53</v>
      </c>
      <c r="F9" s="15" t="s">
        <v>65</v>
      </c>
      <c r="G9" s="9" t="s">
        <v>66</v>
      </c>
    </row>
    <row r="10" ht="33.75" customHeight="1" spans="2:7">
      <c r="B10" s="10" t="s">
        <v>16</v>
      </c>
      <c r="C10" s="11" t="s">
        <v>67</v>
      </c>
      <c r="D10" s="6" t="s">
        <v>52</v>
      </c>
      <c r="E10" s="12" t="s">
        <v>68</v>
      </c>
      <c r="F10" s="15" t="s">
        <v>65</v>
      </c>
      <c r="G10" s="13" t="s">
        <v>69</v>
      </c>
    </row>
    <row r="11" ht="33.75" customHeight="1" spans="2:7">
      <c r="B11" s="4" t="s">
        <v>17</v>
      </c>
      <c r="C11" s="5" t="s">
        <v>70</v>
      </c>
      <c r="D11" s="6" t="s">
        <v>52</v>
      </c>
      <c r="E11" s="7" t="s">
        <v>71</v>
      </c>
      <c r="F11" s="8" t="s">
        <v>54</v>
      </c>
      <c r="G11" s="9" t="s">
        <v>72</v>
      </c>
    </row>
    <row r="12" ht="33.75" customHeight="1" spans="2:7">
      <c r="B12" s="10" t="s">
        <v>18</v>
      </c>
      <c r="C12" s="11" t="s">
        <v>60</v>
      </c>
      <c r="D12" s="6" t="s">
        <v>52</v>
      </c>
      <c r="E12" s="12" t="s">
        <v>61</v>
      </c>
      <c r="F12" s="16" t="s">
        <v>73</v>
      </c>
      <c r="G12" s="13" t="s">
        <v>74</v>
      </c>
    </row>
    <row r="13" ht="33.75" customHeight="1" spans="2:7">
      <c r="B13" s="4" t="s">
        <v>19</v>
      </c>
      <c r="C13" s="5" t="s">
        <v>60</v>
      </c>
      <c r="D13" s="6" t="s">
        <v>52</v>
      </c>
      <c r="E13" s="7" t="s">
        <v>61</v>
      </c>
      <c r="F13" s="16" t="s">
        <v>73</v>
      </c>
      <c r="G13" s="9" t="s">
        <v>75</v>
      </c>
    </row>
    <row r="14" ht="33.75" customHeight="1" spans="2:7">
      <c r="B14" s="10" t="s">
        <v>76</v>
      </c>
      <c r="C14" s="11" t="s">
        <v>77</v>
      </c>
      <c r="D14" s="6" t="s">
        <v>52</v>
      </c>
      <c r="E14" s="12" t="s">
        <v>78</v>
      </c>
      <c r="F14" s="8" t="s">
        <v>54</v>
      </c>
      <c r="G14" s="13" t="s">
        <v>79</v>
      </c>
    </row>
    <row r="17" ht="18" customHeight="1" spans="2:7">
      <c r="B17" s="17" t="s">
        <v>80</v>
      </c>
      <c r="C17" s="17"/>
      <c r="D17" s="17"/>
      <c r="E17" s="17"/>
      <c r="F17" s="17"/>
      <c r="G17" s="17"/>
    </row>
    <row r="18" ht="18" customHeight="1" spans="2:7">
      <c r="B18" s="8" t="s">
        <v>54</v>
      </c>
      <c r="C18" s="18" t="s">
        <v>81</v>
      </c>
      <c r="D18" s="18"/>
      <c r="E18" s="18"/>
      <c r="F18" s="18"/>
      <c r="G18" s="18"/>
    </row>
    <row r="19" ht="18" customHeight="1" spans="2:7">
      <c r="B19" s="16" t="s">
        <v>73</v>
      </c>
      <c r="C19" s="18" t="s">
        <v>82</v>
      </c>
      <c r="D19" s="18"/>
      <c r="E19" s="18"/>
      <c r="F19" s="18"/>
      <c r="G19" s="18"/>
    </row>
    <row r="20" ht="18" customHeight="1" spans="2:7">
      <c r="B20" s="14" t="s">
        <v>62</v>
      </c>
      <c r="C20" s="18" t="s">
        <v>83</v>
      </c>
      <c r="D20" s="18"/>
      <c r="E20" s="18"/>
      <c r="F20" s="18"/>
      <c r="G20" s="18"/>
    </row>
    <row r="21" ht="18" customHeight="1" spans="2:7">
      <c r="B21" s="15" t="s">
        <v>65</v>
      </c>
      <c r="C21" s="18" t="s">
        <v>84</v>
      </c>
      <c r="D21" s="18"/>
      <c r="E21" s="18"/>
      <c r="F21" s="18"/>
      <c r="G21" s="18"/>
    </row>
  </sheetData>
  <mergeCells count="7">
    <mergeCell ref="B1:G1"/>
    <mergeCell ref="B2:G2"/>
    <mergeCell ref="B17:G17"/>
    <mergeCell ref="C18:G18"/>
    <mergeCell ref="C19:G19"/>
    <mergeCell ref="C20:G20"/>
    <mergeCell ref="C21:G21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Executive Summary</vt:lpstr>
      <vt:lpstr>Time Savings Chart</vt:lpstr>
      <vt:lpstr>Detailed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Pinnacle</cp:lastModifiedBy>
  <cp:revision>1</cp:revision>
  <dcterms:created xsi:type="dcterms:W3CDTF">2026-05-20T17:54:00Z</dcterms:created>
  <dcterms:modified xsi:type="dcterms:W3CDTF">2026-05-20T18:21:28Z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C5F690773732480DBC6C53C1B8C9C0DB_12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